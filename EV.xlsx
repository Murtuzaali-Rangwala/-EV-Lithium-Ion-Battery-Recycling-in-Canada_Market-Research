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ortfolio\Market Research Project _ EV Recycing\"/>
    </mc:Choice>
  </mc:AlternateContent>
  <xr:revisionPtr revIDLastSave="0" documentId="13_ncr:1_{A89C5CC0-9D96-4AFA-90BE-2241E02F614F}" xr6:coauthVersionLast="47" xr6:coauthVersionMax="47" xr10:uidLastSave="{00000000-0000-0000-0000-000000000000}"/>
  <bookViews>
    <workbookView xWindow="28680" yWindow="-120" windowWidth="29040" windowHeight="15720" xr2:uid="{BECFCCA3-604B-4B14-A2B9-5D473D2B692F}"/>
  </bookViews>
  <sheets>
    <sheet name="DATA FROM SOURCES" sheetId="1" r:id="rId1"/>
    <sheet name="SCENARIO MODEL" sheetId="2" r:id="rId2"/>
    <sheet name="FORECAST (5-YEAR PROJECTION)" sheetId="3" r:id="rId3"/>
  </sheets>
  <calcPr calcId="191029"/>
  <pivotCaches>
    <pivotCache cacheId="2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2" l="1"/>
  <c r="E3" i="2"/>
  <c r="E4" i="2"/>
  <c r="E5" i="2"/>
  <c r="E2" i="2"/>
</calcChain>
</file>

<file path=xl/sharedStrings.xml><?xml version="1.0" encoding="utf-8"?>
<sst xmlns="http://schemas.openxmlformats.org/spreadsheetml/2006/main" count="44" uniqueCount="39">
  <si>
    <t>Metal</t>
  </si>
  <si>
    <t>Lithium</t>
  </si>
  <si>
    <t>Nickel</t>
  </si>
  <si>
    <t>Cobalt</t>
  </si>
  <si>
    <t>Manganese</t>
  </si>
  <si>
    <t>Parameter</t>
  </si>
  <si>
    <t>Value</t>
  </si>
  <si>
    <t>Annual Battery Input (tonnes)</t>
  </si>
  <si>
    <t>Lithium Content (%)</t>
  </si>
  <si>
    <t>Nickel Content (%)</t>
  </si>
  <si>
    <t>Cobalt Content (%)</t>
  </si>
  <si>
    <t>Manganese Content (%)</t>
  </si>
  <si>
    <t>Lithium Recovery Rate (%)</t>
  </si>
  <si>
    <t>Nickel Recovery Rate (%)</t>
  </si>
  <si>
    <t>Cobalt Recovery Rate (%)</t>
  </si>
  <si>
    <t>Manganese Recovery Rate (%)</t>
  </si>
  <si>
    <t>CO₂ Avoided per Tonne (tonnes)</t>
  </si>
  <si>
    <t>Content (%)</t>
  </si>
  <si>
    <t>Input (tonnes)</t>
  </si>
  <si>
    <t>Recovery Rate (%)</t>
  </si>
  <si>
    <t>Recovered (tonnes)</t>
  </si>
  <si>
    <t>TOTAL METALS RECOVERED</t>
  </si>
  <si>
    <t>Metric</t>
  </si>
  <si>
    <t>Annual Battery Input</t>
  </si>
  <si>
    <t>10,000 tonnes</t>
  </si>
  <si>
    <t>Total CO₂ Avoided</t>
  </si>
  <si>
    <t>15,000 tonnes CO₂</t>
  </si>
  <si>
    <t>Year</t>
  </si>
  <si>
    <t>Batteries (units)</t>
  </si>
  <si>
    <t>Total Weight (tonnes)</t>
  </si>
  <si>
    <t>Li Recovered (tonnes)</t>
  </si>
  <si>
    <t>Ni Recovered (tonnes)</t>
  </si>
  <si>
    <t>Co Recovered (tonnes)</t>
  </si>
  <si>
    <t>Mn Recovered (tonnes)</t>
  </si>
  <si>
    <t>CO₂ Avoided (tonnes)</t>
  </si>
  <si>
    <t>Row Labels</t>
  </si>
  <si>
    <t>Grand Total</t>
  </si>
  <si>
    <t>Input (in tonnes)</t>
  </si>
  <si>
    <t>Recovered (In_tonnes)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</si>
</sst>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3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[Recycling.xlsx]SCENARIO MODEL!PivotTable8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MODEL'!$B$17</c:f>
              <c:strCache>
                <c:ptCount val="1"/>
                <c:pt idx="0">
                  <c:v>Input (in tonnes)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MODEL'!$A$18:$A$22</c:f>
              <c:strCache>
                <c:ptCount val="4"/>
                <c:pt idx="0">
                  <c:v>Cobalt</c:v>
                </c:pt>
                <c:pt idx="1">
                  <c:v>Lithium</c:v>
                </c:pt>
                <c:pt idx="2">
                  <c:v>Manganese</c:v>
                </c:pt>
                <c:pt idx="3">
                  <c:v>Nickel</c:v>
                </c:pt>
              </c:strCache>
            </c:strRef>
          </c:cat>
          <c:val>
            <c:numRef>
              <c:f>'SCENARIO MODEL'!$B$18:$B$22</c:f>
              <c:numCache>
                <c:formatCode>General</c:formatCode>
                <c:ptCount val="4"/>
                <c:pt idx="0">
                  <c:v>550</c:v>
                </c:pt>
                <c:pt idx="1">
                  <c:v>160</c:v>
                </c:pt>
                <c:pt idx="2">
                  <c:v>1000</c:v>
                </c:pt>
                <c:pt idx="3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0-49EC-99FB-2E64174C50CD}"/>
            </c:ext>
          </c:extLst>
        </c:ser>
        <c:ser>
          <c:idx val="1"/>
          <c:order val="1"/>
          <c:tx>
            <c:strRef>
              <c:f>'SCENARIO MODEL'!$C$17</c:f>
              <c:strCache>
                <c:ptCount val="1"/>
                <c:pt idx="0">
                  <c:v>Recovered (In_tonnes)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MODEL'!$A$18:$A$22</c:f>
              <c:strCache>
                <c:ptCount val="4"/>
                <c:pt idx="0">
                  <c:v>Cobalt</c:v>
                </c:pt>
                <c:pt idx="1">
                  <c:v>Lithium</c:v>
                </c:pt>
                <c:pt idx="2">
                  <c:v>Manganese</c:v>
                </c:pt>
                <c:pt idx="3">
                  <c:v>Nickel</c:v>
                </c:pt>
              </c:strCache>
            </c:strRef>
          </c:cat>
          <c:val>
            <c:numRef>
              <c:f>'SCENARIO MODEL'!$C$18:$C$22</c:f>
              <c:numCache>
                <c:formatCode>General</c:formatCode>
                <c:ptCount val="4"/>
                <c:pt idx="0">
                  <c:v>522.5</c:v>
                </c:pt>
                <c:pt idx="1">
                  <c:v>128</c:v>
                </c:pt>
                <c:pt idx="2">
                  <c:v>900</c:v>
                </c:pt>
                <c:pt idx="3">
                  <c:v>1282.5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50-49EC-99FB-2E64174C5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479103"/>
        <c:axId val="902483423"/>
      </c:barChart>
      <c:catAx>
        <c:axId val="90247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83423"/>
        <c:crosses val="autoZero"/>
        <c:auto val="1"/>
        <c:lblAlgn val="ctr"/>
        <c:lblOffset val="100"/>
        <c:noMultiLvlLbl val="0"/>
      </c:catAx>
      <c:valAx>
        <c:axId val="90248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47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CO2 Avoided (Tonnes)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'FORECAST (5-YEAR PROJECTION)'!$A$2:$A$6</c:f>
              <c:numCache>
                <c:formatCode>General</c:formatCod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numCache>
            </c:numRef>
          </c:cat>
          <c:val>
            <c:numRef>
              <c:f>'FORECAST (5-YEAR PROJECTION)'!$H$2:$H$6</c:f>
              <c:numCache>
                <c:formatCode>#,##0</c:formatCode>
                <c:ptCount val="5"/>
                <c:pt idx="0">
                  <c:v>7500</c:v>
                </c:pt>
                <c:pt idx="1">
                  <c:v>11250</c:v>
                </c:pt>
                <c:pt idx="2">
                  <c:v>15000</c:v>
                </c:pt>
                <c:pt idx="3">
                  <c:v>22500</c:v>
                </c:pt>
                <c:pt idx="4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E-4074-8961-B913F708BB3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8878431"/>
        <c:axId val="958879391"/>
      </c:lineChart>
      <c:catAx>
        <c:axId val="958878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79391"/>
        <c:crosses val="autoZero"/>
        <c:auto val="1"/>
        <c:lblAlgn val="ctr"/>
        <c:lblOffset val="100"/>
        <c:noMultiLvlLbl val="0"/>
      </c:catAx>
      <c:valAx>
        <c:axId val="95887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CO2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87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598170</xdr:colOff>
      <xdr:row>0</xdr:row>
      <xdr:rowOff>16192</xdr:rowOff>
    </xdr:from>
    <xdr:to>
      <xdr:col>11</xdr:col>
      <xdr:colOff>434340</xdr:colOff>
      <xdr:row>9</xdr:row>
      <xdr:rowOff>353377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84F3CB-0896-F17E-4DB4-9A2A48713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729615</xdr:colOff>
      <xdr:row>0</xdr:row>
      <xdr:rowOff>29527</xdr:rowOff>
    </xdr:from>
    <xdr:to>
      <xdr:col>15</xdr:col>
      <xdr:colOff>171450</xdr:colOff>
      <xdr:row>14</xdr:row>
      <xdr:rowOff>25717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F52469-193F-F7E5-CD72-61418D5B1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RTUZAALI" refreshedDate="46026.815283449076" createdVersion="8" refreshedVersion="8" minRefreshableVersion="3" recordCount="4" xr:uid="{1041FD07-ADF0-418E-B996-D6DA7133E9D4}">
  <cacheSource type="worksheet">
    <worksheetSource ref="A1:E5" sheet="SCENARIO MODEL"/>
  </cacheSource>
  <cacheFields count="5">
    <cacheField name="Metal" numFmtId="0">
      <sharedItems count="4">
        <s v="Lithium"/>
        <s v="Nickel"/>
        <s v="Cobalt"/>
        <s v="Manganese"/>
      </sharedItems>
    </cacheField>
    <cacheField name="Content (%)" numFmtId="0">
      <sharedItems containsSemiMixedTypes="0" containsString="0" containsNumber="1" minValue="1.6" maxValue="13.5" count="4">
        <n v="1.6"/>
        <n v="13.5"/>
        <n v="5.5"/>
        <n v="10"/>
      </sharedItems>
    </cacheField>
    <cacheField name="Input (tonnes)" numFmtId="0">
      <sharedItems containsSemiMixedTypes="0" containsString="0" containsNumber="1" containsInteger="1" minValue="160" maxValue="1350"/>
    </cacheField>
    <cacheField name="Recovery Rate (%)" numFmtId="0">
      <sharedItems containsSemiMixedTypes="0" containsString="0" containsNumber="1" containsInteger="1" minValue="80" maxValue="95"/>
    </cacheField>
    <cacheField name="Recovered (tonnes)" numFmtId="0">
      <sharedItems containsSemiMixedTypes="0" containsString="0" containsNumber="1" minValue="128" maxValue="128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60"/>
    <n v="80"/>
    <n v="128"/>
  </r>
  <r>
    <x v="1"/>
    <x v="1"/>
    <n v="1350"/>
    <n v="95"/>
    <n v="1282.5"/>
  </r>
  <r>
    <x v="2"/>
    <x v="2"/>
    <n v="550"/>
    <n v="95"/>
    <n v="522.5"/>
  </r>
  <r>
    <x v="3"/>
    <x v="3"/>
    <n v="1000"/>
    <n v="90"/>
    <n v="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AAD1E-DC07-4C2D-9F74-87CEDF8D35E1}" name="PivotTable8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7:C22" firstHeaderRow="0" firstDataRow="1" firstDataCol="1"/>
  <pivotFields count="5"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dataField="1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Input (in tonnes)" fld="2" baseField="0" baseItem="0"/>
    <dataField name="Recovered (In_tonnes)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1742C-5917-435A-8178-53B029A048C7}">
  <dimension ref="A1:C11"/>
  <sheetViews>
    <sheetView tabSelected="1" zoomScaleNormal="100" workbookViewId="0">
      <selection activeCell="B33" sqref="B33"/>
    </sheetView>
  </sheetViews>
  <sheetFormatPr defaultRowHeight="12.6" x14ac:dyDescent="0.2"/>
  <cols>
    <col min="1" max="1" width="20.08984375" style="5" bestFit="1" customWidth="1"/>
    <col min="2" max="2" width="6.36328125" style="5" bestFit="1" customWidth="1"/>
    <col min="3" max="3" width="30.81640625" style="5" bestFit="1" customWidth="1"/>
    <col min="4" max="16384" width="8.7265625" style="5"/>
  </cols>
  <sheetData>
    <row r="1" spans="1:3" x14ac:dyDescent="0.2">
      <c r="A1" s="1" t="s">
        <v>5</v>
      </c>
      <c r="B1" s="1" t="s">
        <v>6</v>
      </c>
      <c r="C1" s="3"/>
    </row>
    <row r="2" spans="1:3" ht="25.2" x14ac:dyDescent="0.2">
      <c r="A2" s="2" t="s">
        <v>7</v>
      </c>
      <c r="B2" s="6">
        <v>10000</v>
      </c>
      <c r="C2" s="4"/>
    </row>
    <row r="3" spans="1:3" x14ac:dyDescent="0.2">
      <c r="A3" s="2" t="s">
        <v>8</v>
      </c>
      <c r="B3" s="2">
        <v>1.6</v>
      </c>
      <c r="C3" s="4"/>
    </row>
    <row r="4" spans="1:3" x14ac:dyDescent="0.2">
      <c r="A4" s="2" t="s">
        <v>9</v>
      </c>
      <c r="B4" s="2">
        <v>13.5</v>
      </c>
      <c r="C4" s="4"/>
    </row>
    <row r="5" spans="1:3" x14ac:dyDescent="0.2">
      <c r="A5" s="2" t="s">
        <v>10</v>
      </c>
      <c r="B5" s="2">
        <v>5.5</v>
      </c>
      <c r="C5" s="4"/>
    </row>
    <row r="6" spans="1:3" x14ac:dyDescent="0.2">
      <c r="A6" s="2" t="s">
        <v>11</v>
      </c>
      <c r="B6" s="2">
        <v>10</v>
      </c>
    </row>
    <row r="7" spans="1:3" ht="25.2" x14ac:dyDescent="0.2">
      <c r="A7" s="2" t="s">
        <v>12</v>
      </c>
      <c r="B7" s="2">
        <v>80</v>
      </c>
    </row>
    <row r="8" spans="1:3" ht="25.2" x14ac:dyDescent="0.2">
      <c r="A8" s="2" t="s">
        <v>13</v>
      </c>
      <c r="B8" s="2">
        <v>95</v>
      </c>
    </row>
    <row r="9" spans="1:3" ht="25.2" x14ac:dyDescent="0.2">
      <c r="A9" s="2" t="s">
        <v>14</v>
      </c>
      <c r="B9" s="2">
        <v>95</v>
      </c>
    </row>
    <row r="10" spans="1:3" ht="25.2" x14ac:dyDescent="0.2">
      <c r="A10" s="2" t="s">
        <v>15</v>
      </c>
      <c r="B10" s="2">
        <v>90</v>
      </c>
    </row>
    <row r="11" spans="1:3" ht="25.2" x14ac:dyDescent="0.2">
      <c r="A11" s="2" t="s">
        <v>16</v>
      </c>
      <c r="B11" s="2">
        <v>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6328-DE84-4037-8949-7F55FF74BD72}">
  <dimension ref="A1:E22"/>
  <sheetViews>
    <sheetView workbookViewId="0">
      <selection activeCell="O4" sqref="O4"/>
    </sheetView>
  </sheetViews>
  <sheetFormatPr defaultRowHeight="12.6" x14ac:dyDescent="0.2"/>
  <cols>
    <col min="1" max="1" width="12.54296875" bestFit="1" customWidth="1"/>
    <col min="2" max="2" width="16" bestFit="1" customWidth="1"/>
    <col min="3" max="3" width="21.1796875" bestFit="1" customWidth="1"/>
    <col min="4" max="4" width="8.7265625" bestFit="1" customWidth="1"/>
    <col min="5" max="5" width="9.7265625" bestFit="1" customWidth="1"/>
    <col min="6" max="6" width="7.1796875" bestFit="1" customWidth="1"/>
    <col min="7" max="7" width="11" bestFit="1" customWidth="1"/>
    <col min="8" max="8" width="7.36328125" bestFit="1" customWidth="1"/>
    <col min="9" max="9" width="10.1796875" bestFit="1" customWidth="1"/>
    <col min="10" max="10" width="8.6328125" bestFit="1" customWidth="1"/>
    <col min="11" max="11" width="12.1796875" bestFit="1" customWidth="1"/>
    <col min="12" max="12" width="11" bestFit="1" customWidth="1"/>
  </cols>
  <sheetData>
    <row r="1" spans="1:5" ht="37.799999999999997" x14ac:dyDescent="0.2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x14ac:dyDescent="0.2">
      <c r="A2" s="2" t="s">
        <v>1</v>
      </c>
      <c r="B2" s="2">
        <v>1.6</v>
      </c>
      <c r="C2" s="2">
        <v>160</v>
      </c>
      <c r="D2" s="2">
        <v>80</v>
      </c>
      <c r="E2">
        <f>C2*(D2/100)</f>
        <v>128</v>
      </c>
    </row>
    <row r="3" spans="1:5" x14ac:dyDescent="0.2">
      <c r="A3" s="2" t="s">
        <v>2</v>
      </c>
      <c r="B3" s="2">
        <v>13.5</v>
      </c>
      <c r="C3" s="6">
        <v>1350</v>
      </c>
      <c r="D3" s="2">
        <v>95</v>
      </c>
      <c r="E3">
        <f t="shared" ref="E3:E6" si="0">C3*(D3/100)</f>
        <v>1282.5</v>
      </c>
    </row>
    <row r="4" spans="1:5" x14ac:dyDescent="0.2">
      <c r="A4" s="2" t="s">
        <v>3</v>
      </c>
      <c r="B4" s="2">
        <v>5.5</v>
      </c>
      <c r="C4" s="2">
        <v>550</v>
      </c>
      <c r="D4" s="2">
        <v>95</v>
      </c>
      <c r="E4">
        <f t="shared" si="0"/>
        <v>522.5</v>
      </c>
    </row>
    <row r="5" spans="1:5" ht="25.2" x14ac:dyDescent="0.2">
      <c r="A5" s="2" t="s">
        <v>4</v>
      </c>
      <c r="B5" s="2">
        <v>10</v>
      </c>
      <c r="C5" s="6">
        <v>1000</v>
      </c>
      <c r="D5" s="2">
        <v>90</v>
      </c>
      <c r="E5">
        <f t="shared" si="0"/>
        <v>900</v>
      </c>
    </row>
    <row r="6" spans="1:5" ht="50.4" x14ac:dyDescent="0.2">
      <c r="A6" s="2" t="s">
        <v>21</v>
      </c>
      <c r="B6" s="2"/>
      <c r="C6" s="2"/>
      <c r="D6" s="2"/>
      <c r="E6">
        <f>SUM(E2:E5)</f>
        <v>2833</v>
      </c>
    </row>
    <row r="9" spans="1:5" x14ac:dyDescent="0.2">
      <c r="A9" s="1" t="s">
        <v>22</v>
      </c>
      <c r="B9" s="1" t="s">
        <v>6</v>
      </c>
    </row>
    <row r="10" spans="1:5" ht="37.799999999999997" x14ac:dyDescent="0.2">
      <c r="A10" s="2" t="s">
        <v>23</v>
      </c>
      <c r="B10" s="2" t="s">
        <v>24</v>
      </c>
    </row>
    <row r="11" spans="1:5" ht="37.799999999999997" x14ac:dyDescent="0.2">
      <c r="A11" s="2" t="s">
        <v>25</v>
      </c>
      <c r="B11" s="2" t="s">
        <v>26</v>
      </c>
    </row>
    <row r="17" spans="1:3" x14ac:dyDescent="0.2">
      <c r="A17" s="7" t="s">
        <v>35</v>
      </c>
      <c r="B17" t="s">
        <v>37</v>
      </c>
      <c r="C17" t="s">
        <v>38</v>
      </c>
    </row>
    <row r="18" spans="1:3" x14ac:dyDescent="0.2">
      <c r="A18" s="8" t="s">
        <v>3</v>
      </c>
      <c r="B18" s="9">
        <v>550</v>
      </c>
      <c r="C18" s="9">
        <v>522.5</v>
      </c>
    </row>
    <row r="19" spans="1:3" x14ac:dyDescent="0.2">
      <c r="A19" s="8" t="s">
        <v>1</v>
      </c>
      <c r="B19" s="9">
        <v>160</v>
      </c>
      <c r="C19" s="9">
        <v>128</v>
      </c>
    </row>
    <row r="20" spans="1:3" x14ac:dyDescent="0.2">
      <c r="A20" s="8" t="s">
        <v>4</v>
      </c>
      <c r="B20" s="9">
        <v>1000</v>
      </c>
      <c r="C20" s="9">
        <v>900</v>
      </c>
    </row>
    <row r="21" spans="1:3" x14ac:dyDescent="0.2">
      <c r="A21" s="8" t="s">
        <v>2</v>
      </c>
      <c r="B21" s="9">
        <v>1350</v>
      </c>
      <c r="C21" s="9">
        <v>1282.5</v>
      </c>
    </row>
    <row r="22" spans="1:3" x14ac:dyDescent="0.2">
      <c r="A22" s="8" t="s">
        <v>36</v>
      </c>
      <c r="B22" s="9">
        <v>3060</v>
      </c>
      <c r="C22" s="9">
        <v>2833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5DC4-0C2F-485A-8C3B-FE51CE03AE4F}">
  <dimension ref="A1:H6"/>
  <sheetViews>
    <sheetView workbookViewId="0">
      <selection activeCell="P16" sqref="P16"/>
    </sheetView>
  </sheetViews>
  <sheetFormatPr defaultRowHeight="12.6" x14ac:dyDescent="0.2"/>
  <sheetData>
    <row r="1" spans="1:8" ht="50.4" x14ac:dyDescent="0.2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">
      <c r="A2" s="2">
        <v>2026</v>
      </c>
      <c r="B2" s="6">
        <v>5000</v>
      </c>
      <c r="C2" s="6">
        <v>5000</v>
      </c>
      <c r="D2" s="2">
        <v>64</v>
      </c>
      <c r="E2" s="2">
        <v>641</v>
      </c>
      <c r="F2" s="2">
        <v>263</v>
      </c>
      <c r="G2" s="2">
        <v>450</v>
      </c>
      <c r="H2" s="6">
        <v>7500</v>
      </c>
    </row>
    <row r="3" spans="1:8" x14ac:dyDescent="0.2">
      <c r="A3" s="2">
        <v>2027</v>
      </c>
      <c r="B3" s="6">
        <v>7500</v>
      </c>
      <c r="C3" s="6">
        <v>7500</v>
      </c>
      <c r="D3" s="2">
        <v>96</v>
      </c>
      <c r="E3" s="2">
        <v>961</v>
      </c>
      <c r="F3" s="2">
        <v>394</v>
      </c>
      <c r="G3" s="2">
        <v>675</v>
      </c>
      <c r="H3" s="6">
        <v>11250</v>
      </c>
    </row>
    <row r="4" spans="1:8" x14ac:dyDescent="0.2">
      <c r="A4" s="2">
        <v>2028</v>
      </c>
      <c r="B4" s="6">
        <v>10000</v>
      </c>
      <c r="C4" s="6">
        <v>10000</v>
      </c>
      <c r="D4" s="2">
        <v>128</v>
      </c>
      <c r="E4" s="6">
        <v>1282</v>
      </c>
      <c r="F4" s="2">
        <v>525</v>
      </c>
      <c r="G4" s="2">
        <v>900</v>
      </c>
      <c r="H4" s="6">
        <v>15000</v>
      </c>
    </row>
    <row r="5" spans="1:8" x14ac:dyDescent="0.2">
      <c r="A5" s="2">
        <v>2029</v>
      </c>
      <c r="B5" s="6">
        <v>15000</v>
      </c>
      <c r="C5" s="6">
        <v>15000</v>
      </c>
      <c r="D5" s="2">
        <v>192</v>
      </c>
      <c r="E5" s="6">
        <v>1923</v>
      </c>
      <c r="F5" s="2">
        <v>788</v>
      </c>
      <c r="G5" s="6">
        <v>1350</v>
      </c>
      <c r="H5" s="6">
        <v>22500</v>
      </c>
    </row>
    <row r="6" spans="1:8" x14ac:dyDescent="0.2">
      <c r="A6" s="2">
        <v>2030</v>
      </c>
      <c r="B6" s="6">
        <v>20000</v>
      </c>
      <c r="C6" s="6">
        <v>20000</v>
      </c>
      <c r="D6" s="2">
        <v>256</v>
      </c>
      <c r="E6" s="6">
        <v>2564</v>
      </c>
      <c r="F6" s="6">
        <v>1050</v>
      </c>
      <c r="G6" s="6">
        <v>1800</v>
      </c>
      <c r="H6" s="6">
        <v>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FROM SOURCES</vt:lpstr>
      <vt:lpstr>SCENARIO MODEL</vt:lpstr>
      <vt:lpstr>FORECAST (5-YEAR PROJECTION)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Murtuzaali Rangwala</dc:creator>
  <cp:lastModifiedBy>Murtuzaali Rangwala</cp:lastModifiedBy>
  <dcterms:created xsi:type="dcterms:W3CDTF">2026-01-05T01:06:43Z</dcterms:created>
  <dcterms:modified xsi:type="dcterms:W3CDTF">2026-01-05T03:40:46Z</dcterms:modified>
</cp:coreProperties>
</file>